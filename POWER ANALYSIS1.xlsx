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hi Rubesh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43" i="1"/>
  <c r="E59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43" i="1"/>
  <c r="G2" i="1"/>
  <c r="G3" i="1"/>
  <c r="G4" i="1"/>
  <c r="G5" i="1"/>
  <c r="G6" i="1"/>
  <c r="G7" i="1"/>
  <c r="G8" i="1"/>
  <c r="G9" i="1"/>
  <c r="G10" i="1"/>
  <c r="G11" i="1"/>
  <c r="G13" i="1"/>
  <c r="G14" i="1"/>
  <c r="G15" i="1"/>
  <c r="G16" i="1"/>
  <c r="G17" i="1"/>
  <c r="G38" i="1" l="1"/>
  <c r="G40" i="1" s="1"/>
  <c r="G39" i="1"/>
  <c r="G37" i="1"/>
  <c r="F40" i="1"/>
  <c r="I34" i="1"/>
  <c r="H34" i="1"/>
  <c r="I22" i="1"/>
  <c r="I23" i="1"/>
  <c r="I24" i="1"/>
  <c r="I25" i="1"/>
  <c r="I26" i="1"/>
  <c r="I27" i="1"/>
  <c r="I28" i="1"/>
  <c r="I29" i="1"/>
  <c r="I30" i="1"/>
  <c r="I31" i="1"/>
  <c r="I32" i="1"/>
  <c r="I33" i="1"/>
  <c r="I21" i="1"/>
  <c r="H22" i="1"/>
  <c r="H23" i="1"/>
  <c r="H24" i="1"/>
  <c r="H25" i="1"/>
  <c r="H26" i="1"/>
  <c r="H27" i="1"/>
  <c r="H28" i="1"/>
  <c r="H29" i="1"/>
  <c r="H30" i="1"/>
  <c r="H31" i="1"/>
  <c r="H32" i="1"/>
  <c r="H33" i="1"/>
  <c r="H21" i="1"/>
  <c r="G33" i="1"/>
  <c r="G32" i="1"/>
  <c r="G31" i="1"/>
  <c r="G29" i="1"/>
  <c r="G28" i="1"/>
  <c r="G27" i="1"/>
  <c r="G26" i="1"/>
  <c r="G25" i="1"/>
  <c r="G24" i="1"/>
  <c r="G23" i="1"/>
  <c r="G22" i="1"/>
  <c r="G21" i="1"/>
  <c r="I4" i="1" l="1"/>
  <c r="I5" i="1"/>
  <c r="I6" i="1"/>
  <c r="I7" i="1"/>
  <c r="I8" i="1"/>
  <c r="I9" i="1"/>
  <c r="I10" i="1"/>
  <c r="I11" i="1"/>
  <c r="I13" i="1"/>
  <c r="I14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I3" i="1"/>
  <c r="I15" i="1"/>
  <c r="I16" i="1"/>
  <c r="H18" i="1" l="1"/>
  <c r="I18" i="1"/>
</calcChain>
</file>

<file path=xl/sharedStrings.xml><?xml version="1.0" encoding="utf-8"?>
<sst xmlns="http://schemas.openxmlformats.org/spreadsheetml/2006/main" count="166" uniqueCount="63">
  <si>
    <t>S/NO</t>
  </si>
  <si>
    <t xml:space="preserve">Module </t>
  </si>
  <si>
    <t>peak Power</t>
  </si>
  <si>
    <t>Operating Power</t>
  </si>
  <si>
    <t>operating Current (A)</t>
  </si>
  <si>
    <t>voltage Rail</t>
  </si>
  <si>
    <t>Current</t>
  </si>
  <si>
    <t>Voltage</t>
  </si>
  <si>
    <t>IR Sensor</t>
  </si>
  <si>
    <t>Micro button switch</t>
  </si>
  <si>
    <t xml:space="preserve">PIR Sensor </t>
  </si>
  <si>
    <t xml:space="preserve">Ultrasonic Sensor </t>
  </si>
  <si>
    <t xml:space="preserve">LDR Sensor module </t>
  </si>
  <si>
    <t xml:space="preserve">Soil moisture Sensor </t>
  </si>
  <si>
    <t>Gas Sensor MQ135</t>
  </si>
  <si>
    <t xml:space="preserve">Rain sensor </t>
  </si>
  <si>
    <t>Flame sensor</t>
  </si>
  <si>
    <t>DHT11 Sensor</t>
  </si>
  <si>
    <t xml:space="preserve">Touch sensor </t>
  </si>
  <si>
    <t>MPU6050</t>
  </si>
  <si>
    <t xml:space="preserve">LCD Display </t>
  </si>
  <si>
    <t>Esp32-WROOM-32</t>
  </si>
  <si>
    <t>Potentiometer</t>
  </si>
  <si>
    <t>3V - 5V</t>
  </si>
  <si>
    <t>20mA - 30mA</t>
  </si>
  <si>
    <t>LED(RED)</t>
  </si>
  <si>
    <t>2.0 -2.8V</t>
  </si>
  <si>
    <t xml:space="preserve">20mA </t>
  </si>
  <si>
    <t>3.3V - 5V DC</t>
  </si>
  <si>
    <t>10mA -20mA</t>
  </si>
  <si>
    <t>120 mA -150mA</t>
  </si>
  <si>
    <t>15mA</t>
  </si>
  <si>
    <t>2.0V -5.5 V</t>
  </si>
  <si>
    <t>1.5uA - 3.0 Ua</t>
  </si>
  <si>
    <t xml:space="preserve">2.3V -3.4V </t>
  </si>
  <si>
    <t>3.9mA</t>
  </si>
  <si>
    <t xml:space="preserve">0 -5V </t>
  </si>
  <si>
    <t>0 -0.5mA(AT 5V WITH A 10K POTENTIOMETER)</t>
  </si>
  <si>
    <t>TOTAL</t>
  </si>
  <si>
    <t xml:space="preserve">3.3V - 5V  DC </t>
  </si>
  <si>
    <t>3.3V - 5V</t>
  </si>
  <si>
    <t xml:space="preserve"> 5V DC</t>
  </si>
  <si>
    <t>5V DC</t>
  </si>
  <si>
    <t>10-20mA (TYPICAL MODULE)</t>
  </si>
  <si>
    <t>3.3V -5.5V</t>
  </si>
  <si>
    <t>3.3VOR 5V</t>
  </si>
  <si>
    <t xml:space="preserve"> 5V</t>
  </si>
  <si>
    <t>20mA (TYPICAL MODULE)</t>
  </si>
  <si>
    <t>peak Current</t>
  </si>
  <si>
    <t>50 - 65mA</t>
  </si>
  <si>
    <t>2.5mA -3mA</t>
  </si>
  <si>
    <t>0.5mA</t>
  </si>
  <si>
    <t xml:space="preserve">15mA-35mA </t>
  </si>
  <si>
    <t xml:space="preserve"> 240 mA to 300 mA</t>
  </si>
  <si>
    <t>5v Components</t>
  </si>
  <si>
    <t xml:space="preserve">3v components </t>
  </si>
  <si>
    <t>3.0V - 3.3V</t>
  </si>
  <si>
    <t>s/no</t>
  </si>
  <si>
    <t>total</t>
  </si>
  <si>
    <t>Power (P=V*I)</t>
  </si>
  <si>
    <t>1 Hour power consumption</t>
  </si>
  <si>
    <t>Total</t>
  </si>
  <si>
    <t>2 Hour power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</si>
</sst>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Arial Black"/>
      <family val="2"/>
    </font>
    <font>
      <b/>
      <sz val="11"/>
      <color theme="1"/>
      <name val="Arial Black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E1" workbookViewId="0">
      <selection activeCell="G60" sqref="G60"/>
    </sheetView>
  </sheetViews>
  <sheetFormatPr defaultRowHeight="21" x14ac:dyDescent="0.4"/>
  <cols>
    <col min="1" max="1" width="9.6640625" style="6" customWidth="1"/>
    <col min="2" max="2" width="36" customWidth="1"/>
    <col min="3" max="3" width="33" customWidth="1"/>
    <col min="4" max="4" width="49.6640625" customWidth="1"/>
    <col min="5" max="5" width="42.77734375" customWidth="1"/>
    <col min="6" max="6" width="45.77734375" customWidth="1"/>
    <col min="7" max="7" width="45.21875" customWidth="1"/>
    <col min="8" max="8" width="25.33203125" customWidth="1"/>
    <col min="9" max="9" width="17.33203125" customWidth="1"/>
    <col min="10" max="10" width="27.33203125" customWidth="1"/>
    <col min="11" max="11" width="25.109375" customWidth="1"/>
  </cols>
  <sheetData>
    <row r="1" spans="1:11" ht="22.2" x14ac:dyDescent="0.5">
      <c r="A1" s="6" t="s">
        <v>0</v>
      </c>
      <c r="B1" s="3" t="s">
        <v>1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48</v>
      </c>
      <c r="H1" s="2" t="s">
        <v>3</v>
      </c>
      <c r="I1" s="2" t="s">
        <v>2</v>
      </c>
      <c r="J1" s="2" t="s">
        <v>54</v>
      </c>
      <c r="K1" s="2" t="s">
        <v>55</v>
      </c>
    </row>
    <row r="2" spans="1:11" ht="22.2" x14ac:dyDescent="0.5">
      <c r="A2" s="6">
        <v>1</v>
      </c>
      <c r="B2" s="4" t="s">
        <v>8</v>
      </c>
      <c r="C2" s="7" t="s">
        <v>23</v>
      </c>
      <c r="D2" s="7" t="s">
        <v>24</v>
      </c>
      <c r="E2" s="7">
        <v>5</v>
      </c>
      <c r="F2" s="7">
        <v>0.03</v>
      </c>
      <c r="G2" s="7">
        <f>F2*1.1</f>
        <v>3.3000000000000002E-2</v>
      </c>
      <c r="H2" s="7">
        <f>E2*F2</f>
        <v>0.15</v>
      </c>
      <c r="I2" s="7">
        <f>E2*G2</f>
        <v>0.16500000000000001</v>
      </c>
      <c r="J2" s="2" t="s">
        <v>8</v>
      </c>
      <c r="K2" s="1" t="s">
        <v>25</v>
      </c>
    </row>
    <row r="3" spans="1:11" ht="21.6" x14ac:dyDescent="0.45">
      <c r="A3" s="6">
        <v>2</v>
      </c>
      <c r="B3" s="1" t="s">
        <v>9</v>
      </c>
      <c r="C3" s="7" t="s">
        <v>45</v>
      </c>
      <c r="D3" s="7" t="s">
        <v>51</v>
      </c>
      <c r="E3" s="7">
        <v>5</v>
      </c>
      <c r="F3" s="7">
        <v>5.0000000000000001E-4</v>
      </c>
      <c r="G3" s="7">
        <f t="shared" ref="G3:G17" si="0">F3*1.1</f>
        <v>5.5000000000000003E-4</v>
      </c>
      <c r="H3" s="7">
        <f t="shared" ref="H3:H17" si="1">E3*F3</f>
        <v>2.5000000000000001E-3</v>
      </c>
      <c r="I3" s="7">
        <f t="shared" ref="I3:I17" si="2">E3*G3</f>
        <v>2.7500000000000003E-3</v>
      </c>
      <c r="J3" s="1" t="s">
        <v>9</v>
      </c>
      <c r="K3" s="1" t="s">
        <v>19</v>
      </c>
    </row>
    <row r="4" spans="1:11" ht="21.6" x14ac:dyDescent="0.45">
      <c r="A4" s="6">
        <v>3</v>
      </c>
      <c r="B4" s="1" t="s">
        <v>25</v>
      </c>
      <c r="C4" s="7" t="s">
        <v>26</v>
      </c>
      <c r="D4" s="7" t="s">
        <v>27</v>
      </c>
      <c r="E4" s="7">
        <v>3.3</v>
      </c>
      <c r="F4" s="7">
        <v>0.02</v>
      </c>
      <c r="G4" s="7">
        <f t="shared" si="0"/>
        <v>2.2000000000000002E-2</v>
      </c>
      <c r="H4" s="7">
        <f t="shared" si="1"/>
        <v>6.6000000000000003E-2</v>
      </c>
      <c r="I4" s="7">
        <f t="shared" si="2"/>
        <v>7.2599999999999998E-2</v>
      </c>
      <c r="J4" s="1" t="s">
        <v>10</v>
      </c>
      <c r="K4" s="1" t="s">
        <v>21</v>
      </c>
    </row>
    <row r="5" spans="1:11" ht="22.2" x14ac:dyDescent="0.5">
      <c r="A5" s="6">
        <v>4</v>
      </c>
      <c r="B5" s="1" t="s">
        <v>10</v>
      </c>
      <c r="C5" s="7" t="s">
        <v>39</v>
      </c>
      <c r="D5" s="7" t="s">
        <v>49</v>
      </c>
      <c r="E5" s="7">
        <v>5</v>
      </c>
      <c r="F5" s="7">
        <v>6.5000000000000002E-2</v>
      </c>
      <c r="G5" s="7">
        <f t="shared" si="0"/>
        <v>7.1500000000000008E-2</v>
      </c>
      <c r="H5" s="7">
        <f t="shared" si="1"/>
        <v>0.32500000000000001</v>
      </c>
      <c r="I5" s="7">
        <f t="shared" si="2"/>
        <v>0.35750000000000004</v>
      </c>
      <c r="J5" s="1" t="s">
        <v>11</v>
      </c>
      <c r="K5" s="2"/>
    </row>
    <row r="6" spans="1:11" ht="22.2" x14ac:dyDescent="0.5">
      <c r="A6" s="6">
        <v>5</v>
      </c>
      <c r="B6" s="1" t="s">
        <v>11</v>
      </c>
      <c r="C6" s="7" t="s">
        <v>41</v>
      </c>
      <c r="D6" s="7" t="s">
        <v>31</v>
      </c>
      <c r="E6" s="7">
        <v>5</v>
      </c>
      <c r="F6" s="7">
        <v>1.4999999999999999E-2</v>
      </c>
      <c r="G6" s="7">
        <f t="shared" si="0"/>
        <v>1.6500000000000001E-2</v>
      </c>
      <c r="H6" s="7">
        <f t="shared" si="1"/>
        <v>7.4999999999999997E-2</v>
      </c>
      <c r="I6" s="7">
        <f t="shared" si="2"/>
        <v>8.2500000000000004E-2</v>
      </c>
      <c r="J6" s="1" t="s">
        <v>12</v>
      </c>
      <c r="K6" s="2"/>
    </row>
    <row r="7" spans="1:11" ht="22.2" x14ac:dyDescent="0.5">
      <c r="A7" s="6">
        <v>6</v>
      </c>
      <c r="B7" s="1" t="s">
        <v>12</v>
      </c>
      <c r="C7" s="7" t="s">
        <v>46</v>
      </c>
      <c r="D7" s="5" t="s">
        <v>47</v>
      </c>
      <c r="E7" s="7">
        <v>5</v>
      </c>
      <c r="F7" s="7">
        <v>0.02</v>
      </c>
      <c r="G7" s="7">
        <f t="shared" si="0"/>
        <v>2.2000000000000002E-2</v>
      </c>
      <c r="H7" s="7">
        <f t="shared" si="1"/>
        <v>0.1</v>
      </c>
      <c r="I7" s="7">
        <f t="shared" si="2"/>
        <v>0.11000000000000001</v>
      </c>
      <c r="J7" s="1" t="s">
        <v>13</v>
      </c>
      <c r="K7" s="2"/>
    </row>
    <row r="8" spans="1:11" ht="22.2" x14ac:dyDescent="0.5">
      <c r="A8" s="6">
        <v>7</v>
      </c>
      <c r="B8" s="1" t="s">
        <v>13</v>
      </c>
      <c r="C8" s="7" t="s">
        <v>28</v>
      </c>
      <c r="D8" s="7" t="s">
        <v>29</v>
      </c>
      <c r="E8" s="7">
        <v>5</v>
      </c>
      <c r="F8" s="7">
        <v>0.02</v>
      </c>
      <c r="G8" s="7">
        <f t="shared" si="0"/>
        <v>2.2000000000000002E-2</v>
      </c>
      <c r="H8" s="7">
        <f t="shared" si="1"/>
        <v>0.1</v>
      </c>
      <c r="I8" s="7">
        <f t="shared" si="2"/>
        <v>0.11000000000000001</v>
      </c>
      <c r="J8" s="1" t="s">
        <v>14</v>
      </c>
      <c r="K8" s="2"/>
    </row>
    <row r="9" spans="1:11" ht="22.2" x14ac:dyDescent="0.5">
      <c r="A9" s="6">
        <v>8</v>
      </c>
      <c r="B9" s="1" t="s">
        <v>14</v>
      </c>
      <c r="C9" s="7" t="s">
        <v>42</v>
      </c>
      <c r="D9" s="7" t="s">
        <v>30</v>
      </c>
      <c r="E9" s="7">
        <v>5</v>
      </c>
      <c r="F9" s="7">
        <v>0.15</v>
      </c>
      <c r="G9" s="7">
        <f t="shared" si="0"/>
        <v>0.16500000000000001</v>
      </c>
      <c r="H9" s="7">
        <f t="shared" si="1"/>
        <v>0.75</v>
      </c>
      <c r="I9" s="7">
        <f t="shared" si="2"/>
        <v>0.82500000000000007</v>
      </c>
      <c r="J9" s="1" t="s">
        <v>15</v>
      </c>
      <c r="K9" s="2"/>
    </row>
    <row r="10" spans="1:11" ht="22.2" x14ac:dyDescent="0.5">
      <c r="A10" s="6">
        <v>9</v>
      </c>
      <c r="B10" s="1" t="s">
        <v>15</v>
      </c>
      <c r="C10" s="7" t="s">
        <v>40</v>
      </c>
      <c r="D10" s="7" t="s">
        <v>43</v>
      </c>
      <c r="E10" s="7">
        <v>5</v>
      </c>
      <c r="F10" s="7">
        <v>0.02</v>
      </c>
      <c r="G10" s="7">
        <f t="shared" si="0"/>
        <v>2.2000000000000002E-2</v>
      </c>
      <c r="H10" s="7">
        <f t="shared" si="1"/>
        <v>0.1</v>
      </c>
      <c r="I10" s="7">
        <f t="shared" si="2"/>
        <v>0.11000000000000001</v>
      </c>
      <c r="J10" s="1" t="s">
        <v>16</v>
      </c>
      <c r="K10" s="2"/>
    </row>
    <row r="11" spans="1:11" ht="22.2" x14ac:dyDescent="0.5">
      <c r="A11" s="6">
        <v>10</v>
      </c>
      <c r="B11" s="1" t="s">
        <v>16</v>
      </c>
      <c r="C11" s="7" t="s">
        <v>28</v>
      </c>
      <c r="D11" s="7" t="s">
        <v>31</v>
      </c>
      <c r="E11" s="7">
        <v>5</v>
      </c>
      <c r="F11" s="7">
        <v>1.4999999999999999E-2</v>
      </c>
      <c r="G11" s="7">
        <f t="shared" si="0"/>
        <v>1.6500000000000001E-2</v>
      </c>
      <c r="H11" s="7">
        <f t="shared" si="1"/>
        <v>7.4999999999999997E-2</v>
      </c>
      <c r="I11" s="7">
        <f t="shared" si="2"/>
        <v>8.2500000000000004E-2</v>
      </c>
      <c r="J11" s="1" t="s">
        <v>17</v>
      </c>
      <c r="K11" s="2"/>
    </row>
    <row r="12" spans="1:11" ht="22.2" x14ac:dyDescent="0.5">
      <c r="A12" s="6">
        <v>11</v>
      </c>
      <c r="B12" s="1" t="s">
        <v>17</v>
      </c>
      <c r="C12" s="7" t="s">
        <v>44</v>
      </c>
      <c r="D12" s="7" t="s">
        <v>50</v>
      </c>
      <c r="E12" s="7">
        <v>5</v>
      </c>
      <c r="F12" s="7">
        <v>3.0000000000000001E-3</v>
      </c>
      <c r="G12" s="7">
        <v>3.0000000000000001E-3</v>
      </c>
      <c r="H12" s="7">
        <f t="shared" si="1"/>
        <v>1.4999999999999999E-2</v>
      </c>
      <c r="I12" s="7">
        <v>1.6500000000000001E-2</v>
      </c>
      <c r="J12" s="1" t="s">
        <v>18</v>
      </c>
      <c r="K12" s="2"/>
    </row>
    <row r="13" spans="1:11" ht="22.2" x14ac:dyDescent="0.5">
      <c r="A13" s="6">
        <v>12</v>
      </c>
      <c r="B13" s="1" t="s">
        <v>18</v>
      </c>
      <c r="C13" s="7" t="s">
        <v>32</v>
      </c>
      <c r="D13" s="7" t="s">
        <v>33</v>
      </c>
      <c r="E13" s="7">
        <v>5</v>
      </c>
      <c r="F13" s="7">
        <v>3.0000000000000001E-6</v>
      </c>
      <c r="G13" s="7">
        <f t="shared" si="0"/>
        <v>3.3000000000000002E-6</v>
      </c>
      <c r="H13" s="7">
        <f t="shared" si="1"/>
        <v>1.5E-5</v>
      </c>
      <c r="I13" s="7">
        <f t="shared" si="2"/>
        <v>1.6500000000000001E-5</v>
      </c>
      <c r="J13" s="1" t="s">
        <v>20</v>
      </c>
      <c r="K13" s="2"/>
    </row>
    <row r="14" spans="1:11" ht="22.2" x14ac:dyDescent="0.5">
      <c r="A14" s="6">
        <v>13</v>
      </c>
      <c r="B14" s="1" t="s">
        <v>19</v>
      </c>
      <c r="C14" s="7" t="s">
        <v>34</v>
      </c>
      <c r="D14" s="7" t="s">
        <v>35</v>
      </c>
      <c r="E14" s="7">
        <v>3.3</v>
      </c>
      <c r="F14" s="7">
        <v>3.8999999999999998E-3</v>
      </c>
      <c r="G14" s="7">
        <f>F14*1.1</f>
        <v>4.2900000000000004E-3</v>
      </c>
      <c r="H14" s="7">
        <f t="shared" si="1"/>
        <v>1.2869999999999999E-2</v>
      </c>
      <c r="I14" s="7">
        <f t="shared" si="2"/>
        <v>1.4157000000000001E-2</v>
      </c>
      <c r="J14" s="1" t="s">
        <v>22</v>
      </c>
      <c r="K14" s="2"/>
    </row>
    <row r="15" spans="1:11" ht="22.2" x14ac:dyDescent="0.5">
      <c r="A15" s="6">
        <v>14</v>
      </c>
      <c r="B15" s="1" t="s">
        <v>20</v>
      </c>
      <c r="C15" s="7" t="s">
        <v>42</v>
      </c>
      <c r="D15" s="7" t="s">
        <v>52</v>
      </c>
      <c r="E15" s="7">
        <v>5</v>
      </c>
      <c r="F15" s="7">
        <v>3.5000000000000003E-2</v>
      </c>
      <c r="G15" s="7">
        <f t="shared" si="0"/>
        <v>3.8500000000000006E-2</v>
      </c>
      <c r="H15" s="7">
        <f t="shared" si="1"/>
        <v>0.17500000000000002</v>
      </c>
      <c r="I15" s="7">
        <f t="shared" si="2"/>
        <v>0.19250000000000003</v>
      </c>
      <c r="J15" s="2"/>
      <c r="K15" s="2"/>
    </row>
    <row r="16" spans="1:11" ht="22.2" x14ac:dyDescent="0.5">
      <c r="A16" s="6">
        <v>15</v>
      </c>
      <c r="B16" s="1" t="s">
        <v>21</v>
      </c>
      <c r="C16" s="7" t="s">
        <v>56</v>
      </c>
      <c r="D16" s="7" t="s">
        <v>53</v>
      </c>
      <c r="E16" s="7">
        <v>3.3</v>
      </c>
      <c r="F16" s="7">
        <v>0.3</v>
      </c>
      <c r="G16" s="7">
        <f t="shared" si="0"/>
        <v>0.33</v>
      </c>
      <c r="H16" s="7">
        <f t="shared" si="1"/>
        <v>0.98999999999999988</v>
      </c>
      <c r="I16" s="7">
        <f t="shared" si="2"/>
        <v>1.089</v>
      </c>
      <c r="J16" s="2"/>
      <c r="K16" s="2"/>
    </row>
    <row r="17" spans="1:11" ht="22.2" x14ac:dyDescent="0.5">
      <c r="A17" s="6">
        <v>16</v>
      </c>
      <c r="B17" s="1" t="s">
        <v>22</v>
      </c>
      <c r="C17" s="7" t="s">
        <v>36</v>
      </c>
      <c r="D17" s="7" t="s">
        <v>37</v>
      </c>
      <c r="E17" s="7">
        <v>5</v>
      </c>
      <c r="F17" s="7">
        <v>5.0000000000000001E-4</v>
      </c>
      <c r="G17" s="7">
        <f t="shared" si="0"/>
        <v>5.5000000000000003E-4</v>
      </c>
      <c r="H17" s="7">
        <f t="shared" si="1"/>
        <v>2.5000000000000001E-3</v>
      </c>
      <c r="I17" s="7">
        <f t="shared" si="2"/>
        <v>2.7500000000000003E-3</v>
      </c>
      <c r="J17" s="2"/>
      <c r="K17" s="2"/>
    </row>
    <row r="18" spans="1:11" ht="22.2" x14ac:dyDescent="0.5">
      <c r="A18" s="6">
        <v>17</v>
      </c>
      <c r="G18" s="2" t="s">
        <v>38</v>
      </c>
      <c r="H18" s="7">
        <f>SUM(H2:H17)</f>
        <v>2.9388849999999995</v>
      </c>
      <c r="I18" s="7">
        <f>SUM(I2:I17)</f>
        <v>3.2327735</v>
      </c>
      <c r="J18" s="2"/>
      <c r="K18" s="2"/>
    </row>
    <row r="20" spans="1:11" ht="22.2" x14ac:dyDescent="0.5">
      <c r="A20" s="8" t="s">
        <v>57</v>
      </c>
      <c r="B20" s="2" t="s">
        <v>54</v>
      </c>
      <c r="C20" s="2" t="s">
        <v>7</v>
      </c>
      <c r="D20" s="2" t="s">
        <v>6</v>
      </c>
      <c r="E20" s="2" t="s">
        <v>5</v>
      </c>
      <c r="F20" s="2" t="s">
        <v>4</v>
      </c>
      <c r="G20" s="2" t="s">
        <v>48</v>
      </c>
      <c r="H20" s="2" t="s">
        <v>3</v>
      </c>
      <c r="I20" s="2" t="s">
        <v>2</v>
      </c>
    </row>
    <row r="21" spans="1:11" ht="22.2" x14ac:dyDescent="0.5">
      <c r="A21" s="8">
        <v>1</v>
      </c>
      <c r="B21" s="2" t="s">
        <v>8</v>
      </c>
      <c r="C21" s="7" t="s">
        <v>23</v>
      </c>
      <c r="D21" s="7" t="s">
        <v>24</v>
      </c>
      <c r="E21" s="7">
        <v>5</v>
      </c>
      <c r="F21" s="7">
        <v>0.03</v>
      </c>
      <c r="G21" s="7">
        <f>F21*1.1</f>
        <v>3.3000000000000002E-2</v>
      </c>
      <c r="H21" s="7">
        <f>E21*F21</f>
        <v>0.15</v>
      </c>
      <c r="I21" s="2">
        <f>E21*G21</f>
        <v>0.16500000000000001</v>
      </c>
    </row>
    <row r="22" spans="1:11" ht="22.2" x14ac:dyDescent="0.5">
      <c r="A22" s="8">
        <v>2</v>
      </c>
      <c r="B22" s="1" t="s">
        <v>9</v>
      </c>
      <c r="C22" s="7" t="s">
        <v>45</v>
      </c>
      <c r="D22" s="7" t="s">
        <v>51</v>
      </c>
      <c r="E22" s="7">
        <v>5</v>
      </c>
      <c r="F22" s="7">
        <v>5.0000000000000001E-4</v>
      </c>
      <c r="G22" s="7">
        <f t="shared" ref="G22:G33" si="3">F22*1.1</f>
        <v>5.5000000000000003E-4</v>
      </c>
      <c r="H22" s="7">
        <f t="shared" ref="H22:H33" si="4">E22*F22</f>
        <v>2.5000000000000001E-3</v>
      </c>
      <c r="I22" s="2">
        <f t="shared" ref="I22:I33" si="5">E22*G22</f>
        <v>2.7500000000000003E-3</v>
      </c>
    </row>
    <row r="23" spans="1:11" ht="22.2" x14ac:dyDescent="0.5">
      <c r="A23" s="8">
        <v>3</v>
      </c>
      <c r="B23" s="1" t="s">
        <v>10</v>
      </c>
      <c r="C23" s="7" t="s">
        <v>39</v>
      </c>
      <c r="D23" s="7" t="s">
        <v>49</v>
      </c>
      <c r="E23" s="7">
        <v>5</v>
      </c>
      <c r="F23" s="7">
        <v>6.5000000000000002E-2</v>
      </c>
      <c r="G23" s="7">
        <f t="shared" si="3"/>
        <v>7.1500000000000008E-2</v>
      </c>
      <c r="H23" s="7">
        <f t="shared" si="4"/>
        <v>0.32500000000000001</v>
      </c>
      <c r="I23" s="2">
        <f t="shared" si="5"/>
        <v>0.35750000000000004</v>
      </c>
    </row>
    <row r="24" spans="1:11" ht="22.2" x14ac:dyDescent="0.5">
      <c r="A24" s="8">
        <v>4</v>
      </c>
      <c r="B24" s="1" t="s">
        <v>11</v>
      </c>
      <c r="C24" s="7" t="s">
        <v>41</v>
      </c>
      <c r="D24" s="7" t="s">
        <v>31</v>
      </c>
      <c r="E24" s="7">
        <v>5</v>
      </c>
      <c r="F24" s="7">
        <v>1.4999999999999999E-2</v>
      </c>
      <c r="G24" s="7">
        <f t="shared" si="3"/>
        <v>1.6500000000000001E-2</v>
      </c>
      <c r="H24" s="7">
        <f t="shared" si="4"/>
        <v>7.4999999999999997E-2</v>
      </c>
      <c r="I24" s="2">
        <f t="shared" si="5"/>
        <v>8.2500000000000004E-2</v>
      </c>
    </row>
    <row r="25" spans="1:11" ht="22.2" x14ac:dyDescent="0.5">
      <c r="A25" s="8">
        <v>5</v>
      </c>
      <c r="B25" s="1" t="s">
        <v>12</v>
      </c>
      <c r="C25" s="7" t="s">
        <v>46</v>
      </c>
      <c r="D25" s="5" t="s">
        <v>47</v>
      </c>
      <c r="E25" s="7">
        <v>5</v>
      </c>
      <c r="F25" s="7">
        <v>0.02</v>
      </c>
      <c r="G25" s="7">
        <f t="shared" si="3"/>
        <v>2.2000000000000002E-2</v>
      </c>
      <c r="H25" s="7">
        <f t="shared" si="4"/>
        <v>0.1</v>
      </c>
      <c r="I25" s="2">
        <f t="shared" si="5"/>
        <v>0.11000000000000001</v>
      </c>
    </row>
    <row r="26" spans="1:11" ht="22.2" x14ac:dyDescent="0.5">
      <c r="A26" s="8">
        <v>6</v>
      </c>
      <c r="B26" s="1" t="s">
        <v>13</v>
      </c>
      <c r="C26" s="7" t="s">
        <v>28</v>
      </c>
      <c r="D26" s="7" t="s">
        <v>29</v>
      </c>
      <c r="E26" s="7">
        <v>5</v>
      </c>
      <c r="F26" s="7">
        <v>0.02</v>
      </c>
      <c r="G26" s="7">
        <f t="shared" si="3"/>
        <v>2.2000000000000002E-2</v>
      </c>
      <c r="H26" s="7">
        <f t="shared" si="4"/>
        <v>0.1</v>
      </c>
      <c r="I26" s="2">
        <f t="shared" si="5"/>
        <v>0.11000000000000001</v>
      </c>
    </row>
    <row r="27" spans="1:11" ht="22.2" x14ac:dyDescent="0.5">
      <c r="A27" s="8">
        <v>7</v>
      </c>
      <c r="B27" s="1" t="s">
        <v>14</v>
      </c>
      <c r="C27" s="7" t="s">
        <v>42</v>
      </c>
      <c r="D27" s="7" t="s">
        <v>30</v>
      </c>
      <c r="E27" s="7">
        <v>5</v>
      </c>
      <c r="F27" s="7">
        <v>0.15</v>
      </c>
      <c r="G27" s="7">
        <f t="shared" si="3"/>
        <v>0.16500000000000001</v>
      </c>
      <c r="H27" s="7">
        <f t="shared" si="4"/>
        <v>0.75</v>
      </c>
      <c r="I27" s="2">
        <f t="shared" si="5"/>
        <v>0.82500000000000007</v>
      </c>
    </row>
    <row r="28" spans="1:11" ht="22.2" x14ac:dyDescent="0.5">
      <c r="A28" s="8">
        <v>8</v>
      </c>
      <c r="B28" s="1" t="s">
        <v>15</v>
      </c>
      <c r="C28" s="7" t="s">
        <v>40</v>
      </c>
      <c r="D28" s="7" t="s">
        <v>43</v>
      </c>
      <c r="E28" s="7">
        <v>5</v>
      </c>
      <c r="F28" s="7">
        <v>0.02</v>
      </c>
      <c r="G28" s="7">
        <f t="shared" si="3"/>
        <v>2.2000000000000002E-2</v>
      </c>
      <c r="H28" s="7">
        <f t="shared" si="4"/>
        <v>0.1</v>
      </c>
      <c r="I28" s="2">
        <f t="shared" si="5"/>
        <v>0.11000000000000001</v>
      </c>
    </row>
    <row r="29" spans="1:11" ht="22.2" x14ac:dyDescent="0.5">
      <c r="A29" s="8">
        <v>9</v>
      </c>
      <c r="B29" s="1" t="s">
        <v>16</v>
      </c>
      <c r="C29" s="7" t="s">
        <v>28</v>
      </c>
      <c r="D29" s="7" t="s">
        <v>31</v>
      </c>
      <c r="E29" s="7">
        <v>5</v>
      </c>
      <c r="F29" s="7">
        <v>1.4999999999999999E-2</v>
      </c>
      <c r="G29" s="7">
        <f t="shared" si="3"/>
        <v>1.6500000000000001E-2</v>
      </c>
      <c r="H29" s="7">
        <f t="shared" si="4"/>
        <v>7.4999999999999997E-2</v>
      </c>
      <c r="I29" s="2">
        <f t="shared" si="5"/>
        <v>8.2500000000000004E-2</v>
      </c>
    </row>
    <row r="30" spans="1:11" ht="22.2" x14ac:dyDescent="0.5">
      <c r="A30" s="8">
        <v>10</v>
      </c>
      <c r="B30" s="1" t="s">
        <v>17</v>
      </c>
      <c r="C30" s="7" t="s">
        <v>44</v>
      </c>
      <c r="D30" s="7" t="s">
        <v>50</v>
      </c>
      <c r="E30" s="7">
        <v>5</v>
      </c>
      <c r="F30" s="7">
        <v>3.0000000000000001E-3</v>
      </c>
      <c r="G30" s="7">
        <v>3.0000000000000001E-3</v>
      </c>
      <c r="H30" s="7">
        <f t="shared" si="4"/>
        <v>1.4999999999999999E-2</v>
      </c>
      <c r="I30" s="2">
        <f t="shared" si="5"/>
        <v>1.4999999999999999E-2</v>
      </c>
    </row>
    <row r="31" spans="1:11" ht="22.2" x14ac:dyDescent="0.5">
      <c r="A31" s="8">
        <v>11</v>
      </c>
      <c r="B31" s="1" t="s">
        <v>18</v>
      </c>
      <c r="C31" s="7" t="s">
        <v>32</v>
      </c>
      <c r="D31" s="7" t="s">
        <v>33</v>
      </c>
      <c r="E31" s="7">
        <v>5</v>
      </c>
      <c r="F31" s="7">
        <v>3.0000000000000001E-6</v>
      </c>
      <c r="G31" s="7">
        <f t="shared" si="3"/>
        <v>3.3000000000000002E-6</v>
      </c>
      <c r="H31" s="7">
        <f t="shared" si="4"/>
        <v>1.5E-5</v>
      </c>
      <c r="I31" s="2">
        <f t="shared" si="5"/>
        <v>1.6500000000000001E-5</v>
      </c>
    </row>
    <row r="32" spans="1:11" ht="22.2" x14ac:dyDescent="0.5">
      <c r="A32" s="8">
        <v>12</v>
      </c>
      <c r="B32" s="1" t="s">
        <v>20</v>
      </c>
      <c r="C32" s="7" t="s">
        <v>42</v>
      </c>
      <c r="D32" s="7" t="s">
        <v>52</v>
      </c>
      <c r="E32" s="1">
        <v>5</v>
      </c>
      <c r="F32" s="7">
        <v>3.5000000000000003E-2</v>
      </c>
      <c r="G32" s="7">
        <f t="shared" si="3"/>
        <v>3.8500000000000006E-2</v>
      </c>
      <c r="H32" s="7">
        <f t="shared" si="4"/>
        <v>0.17500000000000002</v>
      </c>
      <c r="I32" s="2">
        <f t="shared" si="5"/>
        <v>0.19250000000000003</v>
      </c>
    </row>
    <row r="33" spans="1:9" ht="22.2" x14ac:dyDescent="0.5">
      <c r="A33" s="8">
        <v>13</v>
      </c>
      <c r="B33" s="1" t="s">
        <v>22</v>
      </c>
      <c r="C33" s="7" t="s">
        <v>36</v>
      </c>
      <c r="D33" s="7" t="s">
        <v>37</v>
      </c>
      <c r="E33" s="1">
        <v>5</v>
      </c>
      <c r="F33" s="7">
        <v>5.0000000000000001E-4</v>
      </c>
      <c r="G33" s="7">
        <f t="shared" si="3"/>
        <v>5.5000000000000003E-4</v>
      </c>
      <c r="H33" s="7">
        <f t="shared" si="4"/>
        <v>2.5000000000000001E-3</v>
      </c>
      <c r="I33" s="2">
        <f t="shared" si="5"/>
        <v>2.7500000000000003E-3</v>
      </c>
    </row>
    <row r="34" spans="1:9" ht="25.2" x14ac:dyDescent="0.6">
      <c r="A34" s="8"/>
      <c r="F34" s="9"/>
      <c r="G34" s="9" t="s">
        <v>58</v>
      </c>
      <c r="H34" s="9">
        <f>SUM(H21:H33)</f>
        <v>1.870015</v>
      </c>
      <c r="I34" s="9">
        <f>SUM(I21:I33)</f>
        <v>2.0555165</v>
      </c>
    </row>
    <row r="35" spans="1:9" ht="22.2" x14ac:dyDescent="0.5">
      <c r="A35" s="8"/>
      <c r="H35" s="7"/>
      <c r="I35" s="2"/>
    </row>
    <row r="36" spans="1:9" ht="22.2" x14ac:dyDescent="0.5">
      <c r="A36" s="8" t="s">
        <v>57</v>
      </c>
      <c r="B36" s="2" t="s">
        <v>55</v>
      </c>
      <c r="C36" s="2" t="s">
        <v>7</v>
      </c>
      <c r="D36" s="2" t="s">
        <v>6</v>
      </c>
      <c r="E36" s="2" t="s">
        <v>5</v>
      </c>
      <c r="F36" s="2" t="s">
        <v>4</v>
      </c>
      <c r="G36" s="2" t="s">
        <v>48</v>
      </c>
      <c r="H36" s="7"/>
      <c r="I36" s="2"/>
    </row>
    <row r="37" spans="1:9" ht="22.2" x14ac:dyDescent="0.5">
      <c r="A37" s="8">
        <v>1</v>
      </c>
      <c r="B37" s="1" t="s">
        <v>25</v>
      </c>
      <c r="C37" s="7" t="s">
        <v>26</v>
      </c>
      <c r="D37" s="7" t="s">
        <v>27</v>
      </c>
      <c r="E37" s="2">
        <v>3.3</v>
      </c>
      <c r="F37" s="7">
        <v>0.02</v>
      </c>
      <c r="G37" s="7">
        <f>F37*1.1</f>
        <v>2.2000000000000002E-2</v>
      </c>
      <c r="H37" s="7"/>
      <c r="I37" s="2"/>
    </row>
    <row r="38" spans="1:9" ht="22.2" x14ac:dyDescent="0.5">
      <c r="A38" s="8">
        <v>2</v>
      </c>
      <c r="B38" s="1" t="s">
        <v>19</v>
      </c>
      <c r="C38" s="7" t="s">
        <v>34</v>
      </c>
      <c r="D38" s="7" t="s">
        <v>35</v>
      </c>
      <c r="E38" s="2">
        <v>3.3</v>
      </c>
      <c r="F38" s="7">
        <v>0.309</v>
      </c>
      <c r="G38" s="7">
        <f t="shared" ref="G38:G39" si="6">F38*1.1</f>
        <v>0.33990000000000004</v>
      </c>
      <c r="H38" s="7"/>
      <c r="I38" s="2"/>
    </row>
    <row r="39" spans="1:9" ht="22.2" x14ac:dyDescent="0.5">
      <c r="A39" s="8">
        <v>3</v>
      </c>
      <c r="B39" s="1" t="s">
        <v>21</v>
      </c>
      <c r="C39" s="7" t="s">
        <v>56</v>
      </c>
      <c r="D39" s="7" t="s">
        <v>53</v>
      </c>
      <c r="E39" s="2">
        <v>3.3</v>
      </c>
      <c r="F39">
        <v>0.3</v>
      </c>
      <c r="G39" s="7">
        <f t="shared" si="6"/>
        <v>0.33</v>
      </c>
      <c r="H39" s="7"/>
      <c r="I39" s="2"/>
    </row>
    <row r="40" spans="1:9" ht="25.2" x14ac:dyDescent="0.6">
      <c r="E40" s="9" t="s">
        <v>58</v>
      </c>
      <c r="F40" s="9">
        <f>SUM(F37:F39)</f>
        <v>0.629</v>
      </c>
      <c r="G40" s="9">
        <f>SUM(G37:G39)</f>
        <v>0.69190000000000007</v>
      </c>
      <c r="H40" s="7"/>
      <c r="I40" s="2"/>
    </row>
    <row r="41" spans="1:9" ht="22.2" x14ac:dyDescent="0.5">
      <c r="I41" s="2"/>
    </row>
    <row r="42" spans="1:9" ht="25.2" x14ac:dyDescent="0.6">
      <c r="A42" s="6" t="s">
        <v>0</v>
      </c>
      <c r="B42" s="3" t="s">
        <v>1</v>
      </c>
      <c r="C42" s="2" t="s">
        <v>4</v>
      </c>
      <c r="D42" s="2" t="s">
        <v>5</v>
      </c>
      <c r="E42" s="2" t="s">
        <v>59</v>
      </c>
      <c r="F42" s="2" t="s">
        <v>60</v>
      </c>
      <c r="G42" s="9" t="s">
        <v>62</v>
      </c>
      <c r="I42" s="2"/>
    </row>
    <row r="43" spans="1:9" ht="25.2" x14ac:dyDescent="0.6">
      <c r="A43" s="6">
        <v>1</v>
      </c>
      <c r="B43" s="4" t="s">
        <v>8</v>
      </c>
      <c r="C43" s="7">
        <v>0.03</v>
      </c>
      <c r="D43" s="7">
        <v>5</v>
      </c>
      <c r="E43" s="2">
        <f>C43*D43</f>
        <v>0.15</v>
      </c>
      <c r="F43" s="2">
        <f>E43</f>
        <v>0.15</v>
      </c>
      <c r="G43" s="9">
        <f>E43*2</f>
        <v>0.3</v>
      </c>
      <c r="I43" s="2"/>
    </row>
    <row r="44" spans="1:9" ht="25.2" x14ac:dyDescent="0.6">
      <c r="A44" s="6">
        <v>2</v>
      </c>
      <c r="B44" s="1" t="s">
        <v>9</v>
      </c>
      <c r="C44" s="7">
        <v>5.0000000000000001E-4</v>
      </c>
      <c r="D44" s="7">
        <v>5</v>
      </c>
      <c r="E44" s="2">
        <f t="shared" ref="E44:F58" si="7">C44*D44</f>
        <v>2.5000000000000001E-3</v>
      </c>
      <c r="F44" s="2">
        <f t="shared" ref="F44:F59" si="8">E44</f>
        <v>2.5000000000000001E-3</v>
      </c>
      <c r="G44" s="9">
        <f t="shared" ref="G44:G58" si="9">E44*2</f>
        <v>5.0000000000000001E-3</v>
      </c>
      <c r="I44" s="2"/>
    </row>
    <row r="45" spans="1:9" ht="25.2" x14ac:dyDescent="0.6">
      <c r="A45" s="6">
        <v>3</v>
      </c>
      <c r="B45" s="1" t="s">
        <v>25</v>
      </c>
      <c r="C45" s="7">
        <v>0.02</v>
      </c>
      <c r="D45" s="7">
        <v>3.3</v>
      </c>
      <c r="E45" s="2">
        <f t="shared" si="7"/>
        <v>6.6000000000000003E-2</v>
      </c>
      <c r="F45" s="2">
        <f t="shared" si="8"/>
        <v>6.6000000000000003E-2</v>
      </c>
      <c r="G45" s="9">
        <f t="shared" si="9"/>
        <v>0.13200000000000001</v>
      </c>
    </row>
    <row r="46" spans="1:9" ht="25.2" x14ac:dyDescent="0.6">
      <c r="A46" s="6">
        <v>4</v>
      </c>
      <c r="B46" s="1" t="s">
        <v>10</v>
      </c>
      <c r="C46" s="7">
        <v>6.5000000000000002E-2</v>
      </c>
      <c r="D46" s="7">
        <v>5</v>
      </c>
      <c r="E46" s="2">
        <f t="shared" si="7"/>
        <v>0.32500000000000001</v>
      </c>
      <c r="F46" s="2">
        <f t="shared" si="8"/>
        <v>0.32500000000000001</v>
      </c>
      <c r="G46" s="9">
        <f t="shared" si="9"/>
        <v>0.65</v>
      </c>
    </row>
    <row r="47" spans="1:9" ht="25.2" x14ac:dyDescent="0.6">
      <c r="A47" s="6">
        <v>5</v>
      </c>
      <c r="B47" s="1" t="s">
        <v>11</v>
      </c>
      <c r="C47" s="7">
        <v>1.4999999999999999E-2</v>
      </c>
      <c r="D47" s="7">
        <v>5</v>
      </c>
      <c r="E47" s="2">
        <f t="shared" si="7"/>
        <v>7.4999999999999997E-2</v>
      </c>
      <c r="F47" s="2">
        <f t="shared" si="8"/>
        <v>7.4999999999999997E-2</v>
      </c>
      <c r="G47" s="9">
        <f t="shared" si="9"/>
        <v>0.15</v>
      </c>
    </row>
    <row r="48" spans="1:9" ht="25.2" x14ac:dyDescent="0.6">
      <c r="A48" s="6">
        <v>6</v>
      </c>
      <c r="B48" s="1" t="s">
        <v>12</v>
      </c>
      <c r="C48" s="7">
        <v>0.02</v>
      </c>
      <c r="D48" s="7">
        <v>5</v>
      </c>
      <c r="E48" s="2">
        <f t="shared" si="7"/>
        <v>0.1</v>
      </c>
      <c r="F48" s="2">
        <f t="shared" si="8"/>
        <v>0.1</v>
      </c>
      <c r="G48" s="9">
        <f t="shared" si="9"/>
        <v>0.2</v>
      </c>
    </row>
    <row r="49" spans="1:7" ht="25.2" x14ac:dyDescent="0.6">
      <c r="A49" s="6">
        <v>7</v>
      </c>
      <c r="B49" s="1" t="s">
        <v>13</v>
      </c>
      <c r="C49" s="7">
        <v>0.02</v>
      </c>
      <c r="D49" s="7">
        <v>5</v>
      </c>
      <c r="E49" s="2">
        <f t="shared" si="7"/>
        <v>0.1</v>
      </c>
      <c r="F49" s="2">
        <f t="shared" si="8"/>
        <v>0.1</v>
      </c>
      <c r="G49" s="9">
        <f t="shared" si="9"/>
        <v>0.2</v>
      </c>
    </row>
    <row r="50" spans="1:7" ht="25.2" x14ac:dyDescent="0.6">
      <c r="A50" s="6">
        <v>8</v>
      </c>
      <c r="B50" s="1" t="s">
        <v>14</v>
      </c>
      <c r="C50" s="7">
        <v>0.15</v>
      </c>
      <c r="D50" s="7">
        <v>5</v>
      </c>
      <c r="E50" s="2">
        <f t="shared" si="7"/>
        <v>0.75</v>
      </c>
      <c r="F50" s="2">
        <f t="shared" si="8"/>
        <v>0.75</v>
      </c>
      <c r="G50" s="9">
        <f t="shared" si="9"/>
        <v>1.5</v>
      </c>
    </row>
    <row r="51" spans="1:7" ht="25.2" x14ac:dyDescent="0.6">
      <c r="A51" s="6">
        <v>9</v>
      </c>
      <c r="B51" s="1" t="s">
        <v>15</v>
      </c>
      <c r="C51" s="7">
        <v>0.02</v>
      </c>
      <c r="D51" s="7">
        <v>5</v>
      </c>
      <c r="E51" s="2">
        <f t="shared" si="7"/>
        <v>0.1</v>
      </c>
      <c r="F51" s="2">
        <f t="shared" si="8"/>
        <v>0.1</v>
      </c>
      <c r="G51" s="9">
        <f t="shared" si="9"/>
        <v>0.2</v>
      </c>
    </row>
    <row r="52" spans="1:7" ht="25.2" x14ac:dyDescent="0.6">
      <c r="A52" s="6">
        <v>10</v>
      </c>
      <c r="B52" s="1" t="s">
        <v>16</v>
      </c>
      <c r="C52" s="7">
        <v>1.4999999999999999E-2</v>
      </c>
      <c r="D52" s="7">
        <v>5</v>
      </c>
      <c r="E52" s="2">
        <f t="shared" si="7"/>
        <v>7.4999999999999997E-2</v>
      </c>
      <c r="F52" s="2">
        <f t="shared" si="8"/>
        <v>7.4999999999999997E-2</v>
      </c>
      <c r="G52" s="9">
        <f t="shared" si="9"/>
        <v>0.15</v>
      </c>
    </row>
    <row r="53" spans="1:7" ht="25.2" x14ac:dyDescent="0.6">
      <c r="A53" s="6">
        <v>11</v>
      </c>
      <c r="B53" s="1" t="s">
        <v>17</v>
      </c>
      <c r="C53" s="7">
        <v>3.0000000000000001E-3</v>
      </c>
      <c r="D53" s="7">
        <v>5</v>
      </c>
      <c r="E53" s="2">
        <f t="shared" si="7"/>
        <v>1.4999999999999999E-2</v>
      </c>
      <c r="F53" s="2">
        <f t="shared" si="8"/>
        <v>1.4999999999999999E-2</v>
      </c>
      <c r="G53" s="9">
        <f t="shared" si="9"/>
        <v>0.03</v>
      </c>
    </row>
    <row r="54" spans="1:7" ht="25.2" x14ac:dyDescent="0.6">
      <c r="A54" s="6">
        <v>12</v>
      </c>
      <c r="B54" s="1" t="s">
        <v>18</v>
      </c>
      <c r="C54" s="7">
        <v>3.0000000000000001E-6</v>
      </c>
      <c r="D54" s="7">
        <v>5</v>
      </c>
      <c r="E54" s="2">
        <f t="shared" si="7"/>
        <v>1.5E-5</v>
      </c>
      <c r="F54" s="2">
        <f t="shared" si="8"/>
        <v>1.5E-5</v>
      </c>
      <c r="G54" s="9">
        <f t="shared" si="9"/>
        <v>3.0000000000000001E-5</v>
      </c>
    </row>
    <row r="55" spans="1:7" ht="25.2" x14ac:dyDescent="0.6">
      <c r="A55" s="6">
        <v>13</v>
      </c>
      <c r="B55" s="1" t="s">
        <v>19</v>
      </c>
      <c r="C55" s="7">
        <v>3.8999999999999998E-3</v>
      </c>
      <c r="D55" s="7">
        <v>3.3</v>
      </c>
      <c r="E55" s="2">
        <f t="shared" si="7"/>
        <v>1.2869999999999999E-2</v>
      </c>
      <c r="F55" s="2">
        <f t="shared" si="8"/>
        <v>1.2869999999999999E-2</v>
      </c>
      <c r="G55" s="9">
        <f t="shared" si="9"/>
        <v>2.5739999999999999E-2</v>
      </c>
    </row>
    <row r="56" spans="1:7" ht="25.2" x14ac:dyDescent="0.6">
      <c r="A56" s="6">
        <v>14</v>
      </c>
      <c r="B56" s="1" t="s">
        <v>20</v>
      </c>
      <c r="C56" s="7">
        <v>3.5000000000000003E-2</v>
      </c>
      <c r="D56" s="7">
        <v>5</v>
      </c>
      <c r="E56" s="2">
        <f t="shared" si="7"/>
        <v>0.17500000000000002</v>
      </c>
      <c r="F56" s="2">
        <f t="shared" si="8"/>
        <v>0.17500000000000002</v>
      </c>
      <c r="G56" s="9">
        <f t="shared" si="9"/>
        <v>0.35000000000000003</v>
      </c>
    </row>
    <row r="57" spans="1:7" ht="25.2" x14ac:dyDescent="0.6">
      <c r="A57" s="6">
        <v>15</v>
      </c>
      <c r="B57" s="1" t="s">
        <v>21</v>
      </c>
      <c r="C57" s="7">
        <v>0.3</v>
      </c>
      <c r="D57" s="7">
        <v>3.3</v>
      </c>
      <c r="E57" s="2">
        <f t="shared" si="7"/>
        <v>0.98999999999999988</v>
      </c>
      <c r="F57" s="2">
        <f t="shared" si="8"/>
        <v>0.98999999999999988</v>
      </c>
      <c r="G57" s="9">
        <f t="shared" si="9"/>
        <v>1.9799999999999998</v>
      </c>
    </row>
    <row r="58" spans="1:7" ht="25.2" x14ac:dyDescent="0.6">
      <c r="A58" s="6">
        <v>16</v>
      </c>
      <c r="B58" s="1" t="s">
        <v>22</v>
      </c>
      <c r="C58" s="7">
        <v>5.0000000000000001E-4</v>
      </c>
      <c r="D58" s="7">
        <v>5</v>
      </c>
      <c r="E58" s="2">
        <f t="shared" si="7"/>
        <v>2.5000000000000001E-3</v>
      </c>
      <c r="F58" s="2">
        <f t="shared" si="8"/>
        <v>2.5000000000000001E-3</v>
      </c>
      <c r="G58" s="9">
        <f t="shared" si="9"/>
        <v>5.0000000000000001E-3</v>
      </c>
    </row>
    <row r="59" spans="1:7" ht="25.2" x14ac:dyDescent="0.6">
      <c r="D59" s="9" t="s">
        <v>61</v>
      </c>
      <c r="E59" s="9">
        <f>SUM(E43:E58)</f>
        <v>2.9388849999999995</v>
      </c>
      <c r="F59" s="2">
        <f t="shared" si="8"/>
        <v>2.9388849999999995</v>
      </c>
      <c r="G59" s="9">
        <f>SUM(G43:G58)</f>
        <v>5.8777699999999991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 Rubesh</dc:creator>
  <cp:lastModifiedBy>Athi Rubesh</cp:lastModifiedBy>
  <dcterms:created xsi:type="dcterms:W3CDTF">2026-07-03T13:01:24Z</dcterms:created>
  <dcterms:modified xsi:type="dcterms:W3CDTF">2026-07-05T08:03:19Z</dcterms:modified>
</cp:coreProperties>
</file>